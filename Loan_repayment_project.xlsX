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7" i="1" l="1"/>
  <c r="E19" i="1"/>
  <c r="E20" i="1"/>
  <c r="E18" i="1"/>
  <c r="E17" i="1"/>
  <c r="D18" i="1"/>
  <c r="D19" i="1"/>
  <c r="D20" i="1"/>
  <c r="D17" i="1"/>
  <c r="C18" i="1"/>
  <c r="C19" i="1"/>
  <c r="C20" i="1"/>
</calcChain>
</file>

<file path=xl/sharedStrings.xml><?xml version="1.0" encoding="utf-8"?>
<sst xmlns="http://schemas.openxmlformats.org/spreadsheetml/2006/main" count="17" uniqueCount="13">
  <si>
    <t>LOAN DETAILS</t>
  </si>
  <si>
    <t>BANK</t>
  </si>
  <si>
    <t>LOAN AMOUNT</t>
  </si>
  <si>
    <t>ANNUAL INTEREST RATE</t>
  </si>
  <si>
    <t>LOAN PERIOD IN YEARS</t>
  </si>
  <si>
    <t>YES BANK</t>
  </si>
  <si>
    <t>BANK OF INDIA</t>
  </si>
  <si>
    <t>STATE BANK OF INDIA</t>
  </si>
  <si>
    <t>AXISM BANK</t>
  </si>
  <si>
    <t>LOAN SUMMARY</t>
  </si>
  <si>
    <t>MONTHLY PAYMENT (EMI)</t>
  </si>
  <si>
    <t>TOTAL COST OF LOAN</t>
  </si>
  <si>
    <t>TOTAL INTEREST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</si>
</sst>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9" fontId="0" fillId="3" borderId="0" xfId="0" applyNumberFormat="1" applyFill="1"/>
    <xf numFmtId="10" fontId="0" fillId="3" borderId="0" xfId="0" applyNumberFormat="1" applyFill="1"/>
    <xf numFmtId="0" fontId="3" fillId="0" borderId="0" xfId="0" applyFont="1"/>
    <xf numFmtId="44" fontId="0" fillId="3" borderId="0" xfId="1" applyFont="1" applyFill="1"/>
    <xf numFmtId="8" fontId="2" fillId="3" borderId="0" xfId="0" applyNumberFormat="1" applyFont="1" applyFill="1"/>
    <xf numFmtId="2" fontId="0" fillId="3" borderId="0" xfId="0" applyNumberFormat="1" applyFill="1"/>
    <xf numFmtId="44" fontId="0" fillId="3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0"/>
  <sheetViews>
    <sheetView tabSelected="1" zoomScaleNormal="100" workbookViewId="0">
      <selection activeCell="H7" sqref="H7"/>
    </sheetView>
  </sheetViews>
  <sheetFormatPr defaultRowHeight="15" x14ac:dyDescent="0.25"/>
  <cols>
    <col min="2" max="2" width="20.42578125" bestFit="1" customWidth="1"/>
    <col min="3" max="3" width="25" bestFit="1" customWidth="1"/>
    <col min="4" max="4" width="20.140625" customWidth="1"/>
    <col min="5" max="5" width="24.42578125" bestFit="1" customWidth="1"/>
  </cols>
  <sheetData>
    <row r="3" spans="2:6" x14ac:dyDescent="0.25">
      <c r="B3" s="1" t="s">
        <v>0</v>
      </c>
      <c r="C3" s="1"/>
      <c r="D3" s="1"/>
      <c r="E3" s="1"/>
      <c r="F3" s="1"/>
    </row>
    <row r="4" spans="2:6" x14ac:dyDescent="0.25">
      <c r="B4" s="1"/>
      <c r="C4" s="1"/>
      <c r="D4" s="1"/>
      <c r="E4" s="1"/>
      <c r="F4" s="1"/>
    </row>
    <row r="6" spans="2:6" x14ac:dyDescent="0.25">
      <c r="B6" s="5" t="s">
        <v>1</v>
      </c>
      <c r="C6" s="5" t="s">
        <v>2</v>
      </c>
      <c r="D6" s="5" t="s">
        <v>3</v>
      </c>
      <c r="E6" s="5" t="s">
        <v>4</v>
      </c>
    </row>
    <row r="7" spans="2:6" x14ac:dyDescent="0.25">
      <c r="B7" s="5" t="s">
        <v>5</v>
      </c>
      <c r="C7" s="6">
        <v>1500000</v>
      </c>
      <c r="D7" s="3">
        <v>0.15</v>
      </c>
      <c r="E7" s="2">
        <v>5</v>
      </c>
    </row>
    <row r="8" spans="2:6" x14ac:dyDescent="0.25">
      <c r="B8" s="5" t="s">
        <v>6</v>
      </c>
      <c r="C8" s="6">
        <v>1500000</v>
      </c>
      <c r="D8" s="4">
        <v>0.125</v>
      </c>
      <c r="E8" s="2">
        <v>8</v>
      </c>
    </row>
    <row r="9" spans="2:6" x14ac:dyDescent="0.25">
      <c r="B9" s="5" t="s">
        <v>7</v>
      </c>
      <c r="C9" s="6">
        <v>1500000</v>
      </c>
      <c r="D9" s="4">
        <v>0.11</v>
      </c>
      <c r="E9" s="2">
        <v>10</v>
      </c>
    </row>
    <row r="10" spans="2:6" x14ac:dyDescent="0.25">
      <c r="B10" s="5" t="s">
        <v>8</v>
      </c>
      <c r="C10" s="6">
        <v>1500000</v>
      </c>
      <c r="D10" s="4">
        <v>0.14699999999999999</v>
      </c>
      <c r="E10" s="2">
        <v>9</v>
      </c>
    </row>
    <row r="13" spans="2:6" x14ac:dyDescent="0.25">
      <c r="B13" s="1" t="s">
        <v>9</v>
      </c>
      <c r="C13" s="1"/>
      <c r="D13" s="1"/>
      <c r="E13" s="1"/>
      <c r="F13" s="1"/>
    </row>
    <row r="14" spans="2:6" x14ac:dyDescent="0.25">
      <c r="B14" s="1"/>
      <c r="C14" s="1"/>
      <c r="D14" s="1"/>
      <c r="E14" s="1"/>
      <c r="F14" s="1"/>
    </row>
    <row r="16" spans="2:6" x14ac:dyDescent="0.25">
      <c r="C16" s="5" t="s">
        <v>10</v>
      </c>
      <c r="D16" s="5" t="s">
        <v>11</v>
      </c>
      <c r="E16" s="5" t="s">
        <v>12</v>
      </c>
    </row>
    <row r="17" spans="2:5" x14ac:dyDescent="0.25">
      <c r="B17" s="5" t="s">
        <v>5</v>
      </c>
      <c r="C17" s="7">
        <f>PMT(D7/12,E7*12,C7)</f>
        <v>-35684.895129538098</v>
      </c>
      <c r="D17" s="8">
        <f>C17*(E7*12)</f>
        <v>-2141093.7077722857</v>
      </c>
      <c r="E17" s="9">
        <f>D17-C7</f>
        <v>-3641093.7077722857</v>
      </c>
    </row>
    <row r="18" spans="2:5" x14ac:dyDescent="0.25">
      <c r="B18" s="5" t="s">
        <v>6</v>
      </c>
      <c r="C18" s="7">
        <f>PMT(D8/12,E8*12,C8)</f>
        <v>-24793.212974723752</v>
      </c>
      <c r="D18" s="8">
        <f t="shared" ref="D18:D20" si="0">C18*(E8*12)</f>
        <v>-2380148.4455734803</v>
      </c>
      <c r="E18" s="9">
        <f>D18-C8</f>
        <v>-3880148.4455734803</v>
      </c>
    </row>
    <row r="19" spans="2:5" x14ac:dyDescent="0.25">
      <c r="B19" s="5" t="s">
        <v>7</v>
      </c>
      <c r="C19" s="7">
        <f t="shared" ref="C18:C20" si="1">PMT(D9/12,E9*12,C9)</f>
        <v>-20662.501693788374</v>
      </c>
      <c r="D19" s="8">
        <f t="shared" si="0"/>
        <v>-2479500.2032546047</v>
      </c>
      <c r="E19" s="9">
        <f t="shared" ref="E19:E20" si="2">D19-C9</f>
        <v>-3979500.2032546047</v>
      </c>
    </row>
    <row r="20" spans="2:5" x14ac:dyDescent="0.25">
      <c r="B20" s="5" t="s">
        <v>8</v>
      </c>
      <c r="C20" s="7">
        <f t="shared" si="1"/>
        <v>-25119.083994233952</v>
      </c>
      <c r="D20" s="8">
        <f t="shared" si="0"/>
        <v>-2712861.0713772667</v>
      </c>
      <c r="E20" s="9">
        <f t="shared" si="2"/>
        <v>-4212861.0713772662</v>
      </c>
    </row>
  </sheetData>
  <mergeCells count="2">
    <mergeCell ref="B3:F4"/>
    <mergeCell ref="B13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SIBAJI</dc:creator>
  <cp:lastModifiedBy>SIBAJI</cp:lastModifiedBy>
  <dcterms:created xsi:type="dcterms:W3CDTF">2023-09-01T15:20:34Z</dcterms:created>
  <dcterms:modified xsi:type="dcterms:W3CDTF">2023-09-01T15:54:37Z</dcterms:modified>
</cp:coreProperties>
</file>